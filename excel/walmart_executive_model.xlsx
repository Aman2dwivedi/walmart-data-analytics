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rand Performance" sheetId="2" state="visible" r:id="rId2"/>
    <sheet name="Weekly Finan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Calibri"/>
      <b val="1"/>
      <color rgb="00041E42"/>
      <sz val="16"/>
    </font>
    <font>
      <name val="Calibri"/>
      <i val="1"/>
      <color rgb="00555555"/>
      <sz val="10"/>
    </font>
    <font>
      <name val="Calibri"/>
      <b val="1"/>
      <sz val="11"/>
    </font>
    <font>
      <name val="Calibri"/>
      <b val="1"/>
      <color rgb="000071CE"/>
      <sz val="18"/>
    </font>
    <font>
      <name val="Calibri"/>
      <b val="1"/>
      <color rgb="00DC3545"/>
      <sz val="18"/>
    </font>
    <font>
      <name val="Calibri"/>
      <b val="1"/>
      <color rgb="00041E42"/>
      <sz val="13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6F1FC"/>
        <bgColor rgb="00E6F1FC"/>
      </patternFill>
    </fill>
    <fill>
      <patternFill patternType="solid">
        <fgColor rgb="00041E42"/>
        <bgColor rgb="00041E42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4" fillId="0" borderId="0" pivotButton="0" quotePrefix="0" xfId="0"/>
    <xf numFmtId="164" fontId="4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4" borderId="0" pivotButton="0" quotePrefix="0" xfId="0"/>
    <xf numFmtId="10" fontId="0" fillId="5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00" customWidth="1" min="2" max="2"/>
    <col width="27" customWidth="1" min="3" max="3"/>
    <col width="12" customWidth="1" min="4" max="4"/>
    <col width="28" customWidth="1" min="5" max="5"/>
    <col width="12" customWidth="1" min="6" max="6"/>
    <col width="23" customWidth="1" min="7" max="7"/>
  </cols>
  <sheetData>
    <row r="1">
      <c r="A1" s="1" t="inlineStr">
        <is>
          <t>WALMART MARKET EXECUTIVE BI DASHBOARD (1998)</t>
        </is>
      </c>
    </row>
    <row r="2">
      <c r="A2" s="2" t="inlineStr">
        <is>
          <t>Created by Aman Dwivedi | Business Intelligence &amp; Analytics Portfolio</t>
        </is>
      </c>
    </row>
    <row r="3"/>
    <row r="4">
      <c r="A4" s="3" t="inlineStr">
        <is>
          <t>Current Month Txns</t>
        </is>
      </c>
      <c r="C4" s="3" t="inlineStr">
        <is>
          <t>Current Month Profit</t>
        </is>
      </c>
      <c r="E4" s="3" t="inlineStr">
        <is>
          <t>Current Month Returns</t>
        </is>
      </c>
      <c r="G4" s="3" t="inlineStr">
        <is>
          <t>Total Annual Revenue</t>
        </is>
      </c>
    </row>
    <row r="5">
      <c r="A5" s="4" t="n">
        <v>18325</v>
      </c>
      <c r="C5" s="5" t="n">
        <v>71682</v>
      </c>
      <c r="E5" s="6" t="n">
        <v>496</v>
      </c>
      <c r="G5" s="5" t="n">
        <v>449627</v>
      </c>
    </row>
    <row r="6">
      <c r="A6" s="2" t="inlineStr">
        <is>
          <t>Target: 17,339 (+5.69%)</t>
        </is>
      </c>
      <c r="C6" s="2" t="inlineStr">
        <is>
          <t>Target: $67,872 (+5.61%)</t>
        </is>
      </c>
      <c r="E6" s="2" t="inlineStr">
        <is>
          <t>Target: 482 (-2.9% Alert)</t>
        </is>
      </c>
      <c r="G6" s="2" t="inlineStr">
        <is>
          <t>Avg Margin: 59.94%</t>
        </is>
      </c>
    </row>
    <row r="7"/>
    <row r="8">
      <c r="A8" s="7" t="inlineStr">
        <is>
          <t>Key Strategic Takeaways</t>
        </is>
      </c>
    </row>
    <row r="9">
      <c r="A9" s="8" t="inlineStr">
        <is>
          <t>1. Portland December Milestone</t>
        </is>
      </c>
      <c r="B9" s="9" t="inlineStr">
        <is>
          <t>Portland store recorded 1,050 transactions in December, achieving the 1,000+ benchmark.</t>
        </is>
      </c>
    </row>
    <row r="10">
      <c r="A10" s="8" t="inlineStr">
        <is>
          <t>2. Top 10 Product Brands Driver</t>
        </is>
      </c>
      <c r="B10" s="9" t="inlineStr">
        <is>
          <t>Top 10 brands contribute ~25% of gross revenue with high profit margins (&gt;58%).</t>
        </is>
      </c>
    </row>
    <row r="11">
      <c r="A11" s="8" t="inlineStr">
        <is>
          <t>3. Return Rate Anomaly (+2.9%)</t>
        </is>
      </c>
      <c r="B11" s="9" t="inlineStr">
        <is>
          <t>Total returns rose to 496. Products Horatio (1.25%) and Nationeel (1.18%) require quality audits.</t>
        </is>
      </c>
    </row>
    <row r="12">
      <c r="A12" s="8" t="inlineStr">
        <is>
          <t>4. Mexico Market Acceleration</t>
        </is>
      </c>
      <c r="B12" s="9" t="inlineStr">
        <is>
          <t>Mexico recorded 72.81K annual transactions with expanding profit velocity.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3" customWidth="1" min="4" max="4"/>
    <col width="15" customWidth="1" min="5" max="5"/>
    <col width="15" customWidth="1" min="6" max="6"/>
    <col width="15" customWidth="1" min="7" max="7"/>
    <col width="16" customWidth="1" min="8" max="8"/>
    <col width="14" customWidth="1" min="9" max="9"/>
    <col width="16" customWidth="1" min="10" max="10"/>
  </cols>
  <sheetData>
    <row r="1">
      <c r="A1" s="10" t="inlineStr">
        <is>
          <t>Brand ID</t>
        </is>
      </c>
      <c r="B1" s="11" t="inlineStr">
        <is>
          <t>Product Brand</t>
        </is>
      </c>
      <c r="C1" s="11" t="inlineStr">
        <is>
          <t>Category</t>
        </is>
      </c>
      <c r="D1" s="10" t="inlineStr">
        <is>
          <t>Price Tier</t>
        </is>
      </c>
      <c r="E1" s="12" t="inlineStr">
        <is>
          <t>Transactions</t>
        </is>
      </c>
      <c r="F1" s="12" t="inlineStr">
        <is>
          <t>Revenue ($)</t>
        </is>
      </c>
      <c r="G1" s="12" t="inlineStr">
        <is>
          <t>Profit ($)</t>
        </is>
      </c>
      <c r="H1" s="12" t="inlineStr">
        <is>
          <t>Profit Margin</t>
        </is>
      </c>
      <c r="I1" s="12" t="inlineStr">
        <is>
          <t>Return Rate</t>
        </is>
      </c>
      <c r="J1" s="12" t="inlineStr">
        <is>
          <t>Returns Count</t>
        </is>
      </c>
    </row>
    <row r="2">
      <c r="A2" s="13" t="n">
        <v>1</v>
      </c>
      <c r="B2" t="inlineStr">
        <is>
          <t>Hermanos</t>
        </is>
      </c>
      <c r="C2" t="inlineStr">
        <is>
          <t>Produce &amp; Grocery</t>
        </is>
      </c>
      <c r="D2" s="13" t="inlineStr">
        <is>
          <t>Medium</t>
        </is>
      </c>
      <c r="E2" s="14" t="n">
        <v>5341</v>
      </c>
      <c r="F2" s="15" t="n">
        <v>37100</v>
      </c>
      <c r="G2" s="15" t="n">
        <v>21753</v>
      </c>
      <c r="H2" s="16">
        <f>G2/F2</f>
        <v/>
      </c>
      <c r="I2" s="16">
        <f>J2/E2</f>
        <v/>
      </c>
      <c r="J2" s="14" t="n">
        <v>51</v>
      </c>
    </row>
    <row r="3">
      <c r="A3" s="13" t="n">
        <v>2</v>
      </c>
      <c r="B3" t="inlineStr">
        <is>
          <t>Ebony</t>
        </is>
      </c>
      <c r="C3" t="inlineStr">
        <is>
          <t>Pantry &amp; Spices</t>
        </is>
      </c>
      <c r="D3" s="13" t="inlineStr">
        <is>
          <t>High</t>
        </is>
      </c>
      <c r="E3" s="14" t="n">
        <v>5238</v>
      </c>
      <c r="F3" s="15" t="n">
        <v>34030</v>
      </c>
      <c r="G3" s="15" t="n">
        <v>20354</v>
      </c>
      <c r="H3" s="16">
        <f>G3/F3</f>
        <v/>
      </c>
      <c r="I3" s="16">
        <f>J3/E3</f>
        <v/>
      </c>
      <c r="J3" s="14" t="n">
        <v>50</v>
      </c>
    </row>
    <row r="4">
      <c r="A4" s="13" t="n">
        <v>3</v>
      </c>
      <c r="B4" t="inlineStr">
        <is>
          <t>Tell Tale</t>
        </is>
      </c>
      <c r="C4" t="inlineStr">
        <is>
          <t>Beverages</t>
        </is>
      </c>
      <c r="D4" s="13" t="inlineStr">
        <is>
          <t>Low</t>
        </is>
      </c>
      <c r="E4" s="14" t="n">
        <v>5132</v>
      </c>
      <c r="F4" s="15" t="n">
        <v>34420</v>
      </c>
      <c r="G4" s="15" t="n">
        <v>19982</v>
      </c>
      <c r="H4" s="16">
        <f>G4/F4</f>
        <v/>
      </c>
      <c r="I4" s="16">
        <f>J4/E4</f>
        <v/>
      </c>
      <c r="J4" s="14" t="n">
        <v>51</v>
      </c>
    </row>
    <row r="5">
      <c r="A5" s="13" t="n">
        <v>4</v>
      </c>
      <c r="B5" t="inlineStr">
        <is>
          <t>Tri-State</t>
        </is>
      </c>
      <c r="C5" t="inlineStr">
        <is>
          <t>Dairy &amp; Eggs</t>
        </is>
      </c>
      <c r="D5" s="13" t="inlineStr">
        <is>
          <t>Medium</t>
        </is>
      </c>
      <c r="E5" s="14" t="n">
        <v>5000</v>
      </c>
      <c r="F5" s="15" t="n">
        <v>33915</v>
      </c>
      <c r="G5" s="15" t="n">
        <v>19980</v>
      </c>
      <c r="H5" s="16">
        <f>G5/F5</f>
        <v/>
      </c>
      <c r="I5" s="17">
        <f>J5/E5</f>
        <v/>
      </c>
      <c r="J5" s="14" t="n">
        <v>55</v>
      </c>
    </row>
    <row r="6">
      <c r="A6" s="13" t="n">
        <v>5</v>
      </c>
      <c r="B6" t="inlineStr">
        <is>
          <t>High Top</t>
        </is>
      </c>
      <c r="C6" t="inlineStr">
        <is>
          <t>Bakery &amp; Snacks</t>
        </is>
      </c>
      <c r="D6" s="13" t="inlineStr">
        <is>
          <t>High</t>
        </is>
      </c>
      <c r="E6" s="14" t="n">
        <v>4840</v>
      </c>
      <c r="F6" s="15" t="n">
        <v>32785</v>
      </c>
      <c r="G6" s="15" t="n">
        <v>19810</v>
      </c>
      <c r="H6" s="18">
        <f>G6/F6</f>
        <v/>
      </c>
      <c r="I6" s="16">
        <f>J6/E6</f>
        <v/>
      </c>
      <c r="J6" s="14" t="n">
        <v>49</v>
      </c>
    </row>
    <row r="7">
      <c r="A7" s="13" t="n">
        <v>6</v>
      </c>
      <c r="B7" t="inlineStr">
        <is>
          <t>Nationeel</t>
        </is>
      </c>
      <c r="C7" t="inlineStr">
        <is>
          <t>Frozen Foods</t>
        </is>
      </c>
      <c r="D7" s="13" t="inlineStr">
        <is>
          <t>Medium</t>
        </is>
      </c>
      <c r="E7" s="14" t="n">
        <v>4408</v>
      </c>
      <c r="F7" s="15" t="n">
        <v>30800</v>
      </c>
      <c r="G7" s="15" t="n">
        <v>18617</v>
      </c>
      <c r="H7" s="18">
        <f>G7/F7</f>
        <v/>
      </c>
      <c r="I7" s="17">
        <f>J7/E7</f>
        <v/>
      </c>
      <c r="J7" s="14" t="n">
        <v>52</v>
      </c>
    </row>
    <row r="8">
      <c r="A8" s="13" t="n">
        <v>7</v>
      </c>
      <c r="B8" t="inlineStr">
        <is>
          <t>Best Choice</t>
        </is>
      </c>
      <c r="C8" t="inlineStr">
        <is>
          <t>Household Essentials</t>
        </is>
      </c>
      <c r="D8" s="13" t="inlineStr">
        <is>
          <t>Low</t>
        </is>
      </c>
      <c r="E8" s="14" t="n">
        <v>4218</v>
      </c>
      <c r="F8" s="15" t="n">
        <v>30270</v>
      </c>
      <c r="G8" s="15" t="n">
        <v>18355</v>
      </c>
      <c r="H8" s="18">
        <f>G8/F8</f>
        <v/>
      </c>
      <c r="I8" s="16">
        <f>J8/E8</f>
        <v/>
      </c>
      <c r="J8" s="14" t="n">
        <v>34</v>
      </c>
    </row>
    <row r="9">
      <c r="A9" s="13" t="n">
        <v>8</v>
      </c>
      <c r="B9" t="inlineStr">
        <is>
          <t>Horatio</t>
        </is>
      </c>
      <c r="C9" t="inlineStr">
        <is>
          <t>Personal Care</t>
        </is>
      </c>
      <c r="D9" s="13" t="inlineStr">
        <is>
          <t>High</t>
        </is>
      </c>
      <c r="E9" s="14" t="n">
        <v>4195</v>
      </c>
      <c r="F9" s="15" t="n">
        <v>30360</v>
      </c>
      <c r="G9" s="15" t="n">
        <v>17737</v>
      </c>
      <c r="H9" s="16">
        <f>G9/F9</f>
        <v/>
      </c>
      <c r="I9" s="17">
        <f>J9/E9</f>
        <v/>
      </c>
      <c r="J9" s="14" t="n">
        <v>52</v>
      </c>
    </row>
    <row r="10">
      <c r="A10" s="13" t="n">
        <v>9</v>
      </c>
      <c r="B10" t="inlineStr">
        <is>
          <t>Fort West</t>
        </is>
      </c>
      <c r="C10" t="inlineStr">
        <is>
          <t>Meat &amp; Seafood</t>
        </is>
      </c>
      <c r="D10" s="13" t="inlineStr">
        <is>
          <t>High</t>
        </is>
      </c>
      <c r="E10" s="14" t="n">
        <v>4108</v>
      </c>
      <c r="F10" s="15" t="n">
        <v>26478</v>
      </c>
      <c r="G10" s="15" t="n">
        <v>15834</v>
      </c>
      <c r="H10" s="16">
        <f>G10/F10</f>
        <v/>
      </c>
      <c r="I10" s="16">
        <f>J10/E10</f>
        <v/>
      </c>
      <c r="J10" s="14" t="n">
        <v>40</v>
      </c>
    </row>
    <row r="11">
      <c r="A11" s="13" t="n">
        <v>10</v>
      </c>
      <c r="B11" t="inlineStr">
        <is>
          <t>Fast</t>
        </is>
      </c>
      <c r="C11" t="inlineStr">
        <is>
          <t>Snacks &amp; Confectionery</t>
        </is>
      </c>
      <c r="D11" s="13" t="inlineStr">
        <is>
          <t>Low</t>
        </is>
      </c>
      <c r="E11" s="14" t="n">
        <v>4097</v>
      </c>
      <c r="F11" s="15" t="n">
        <v>26985</v>
      </c>
      <c r="G11" s="15" t="n">
        <v>16469</v>
      </c>
      <c r="H11" s="18">
        <f>G11/F11</f>
        <v/>
      </c>
      <c r="I11" s="16">
        <f>J11/E11</f>
        <v/>
      </c>
      <c r="J11" s="14" t="n">
        <v>44</v>
      </c>
    </row>
    <row r="12">
      <c r="A12" s="13" t="n">
        <v>11</v>
      </c>
      <c r="B12" t="inlineStr">
        <is>
          <t>Sunset</t>
        </is>
      </c>
      <c r="C12" t="inlineStr">
        <is>
          <t>Produce &amp; Fresh</t>
        </is>
      </c>
      <c r="D12" s="13" t="inlineStr">
        <is>
          <t>Medium</t>
        </is>
      </c>
      <c r="E12" s="14" t="n">
        <v>3953</v>
      </c>
      <c r="F12" s="15" t="n">
        <v>23190</v>
      </c>
      <c r="G12" s="15" t="n">
        <v>14018</v>
      </c>
      <c r="H12" s="18">
        <f>G12/F12</f>
        <v/>
      </c>
      <c r="I12" s="16">
        <f>J12/E12</f>
        <v/>
      </c>
      <c r="J12" s="14" t="n">
        <v>41</v>
      </c>
    </row>
    <row r="13">
      <c r="A13" s="13" t="n">
        <v>12</v>
      </c>
      <c r="B13" t="inlineStr">
        <is>
          <t>Carrington</t>
        </is>
      </c>
      <c r="C13" t="inlineStr">
        <is>
          <t>Pantry Staples</t>
        </is>
      </c>
      <c r="D13" s="13" t="inlineStr">
        <is>
          <t>Medium</t>
        </is>
      </c>
      <c r="E13" s="14" t="n">
        <v>3891</v>
      </c>
      <c r="F13" s="15" t="n">
        <v>25005</v>
      </c>
      <c r="G13" s="15" t="n">
        <v>14883</v>
      </c>
      <c r="H13" s="16">
        <f>G13/F13</f>
        <v/>
      </c>
      <c r="I13" s="16">
        <f>J13/E13</f>
        <v/>
      </c>
      <c r="J13" s="14" t="n">
        <v>30</v>
      </c>
    </row>
    <row r="14">
      <c r="A14" s="13" t="n">
        <v>13</v>
      </c>
      <c r="B14" t="inlineStr">
        <is>
          <t>Red Wing</t>
        </is>
      </c>
      <c r="C14" t="inlineStr">
        <is>
          <t>Beverages</t>
        </is>
      </c>
      <c r="D14" s="13" t="inlineStr">
        <is>
          <t>High</t>
        </is>
      </c>
      <c r="E14" s="14" t="n">
        <v>3870</v>
      </c>
      <c r="F14" s="15" t="n">
        <v>26735</v>
      </c>
      <c r="G14" s="15" t="n">
        <v>15870</v>
      </c>
      <c r="H14" s="16">
        <f>G14/F14</f>
        <v/>
      </c>
      <c r="I14" s="16">
        <f>J14/E14</f>
        <v/>
      </c>
      <c r="J14" s="14" t="n">
        <v>41</v>
      </c>
    </row>
    <row r="15">
      <c r="A15" s="13" t="n">
        <v>14</v>
      </c>
      <c r="B15" t="inlineStr">
        <is>
          <t>Big Time</t>
        </is>
      </c>
      <c r="C15" t="inlineStr">
        <is>
          <t>Snacks</t>
        </is>
      </c>
      <c r="D15" s="13" t="inlineStr">
        <is>
          <t>Medium</t>
        </is>
      </c>
      <c r="E15" s="14" t="n">
        <v>3816</v>
      </c>
      <c r="F15" s="15" t="n">
        <v>25845</v>
      </c>
      <c r="G15" s="15" t="n">
        <v>15560</v>
      </c>
      <c r="H15" s="18">
        <f>G15/F15</f>
        <v/>
      </c>
      <c r="I15" s="16">
        <f>J15/E15</f>
        <v/>
      </c>
      <c r="J15" s="14" t="n">
        <v>40</v>
      </c>
    </row>
    <row r="16">
      <c r="A16" s="13" t="n">
        <v>15</v>
      </c>
      <c r="B16" t="inlineStr">
        <is>
          <t>Cormorant</t>
        </is>
      </c>
      <c r="C16" t="inlineStr">
        <is>
          <t>Canned Goods</t>
        </is>
      </c>
      <c r="D16" s="13" t="inlineStr">
        <is>
          <t>Low</t>
        </is>
      </c>
      <c r="E16" s="14" t="n">
        <v>3744</v>
      </c>
      <c r="F16" s="15" t="n">
        <v>25565</v>
      </c>
      <c r="G16" s="15" t="n">
        <v>15749</v>
      </c>
      <c r="H16" s="18">
        <f>G16/F16</f>
        <v/>
      </c>
      <c r="I16" s="16">
        <f>J16/E16</f>
        <v/>
      </c>
      <c r="J16" s="14" t="n">
        <v>33</v>
      </c>
    </row>
    <row r="17">
      <c r="A17" s="13" t="n">
        <v>16</v>
      </c>
      <c r="B17" t="inlineStr">
        <is>
          <t>Imagine</t>
        </is>
      </c>
      <c r="C17" t="inlineStr">
        <is>
          <t>Organic</t>
        </is>
      </c>
      <c r="D17" s="13" t="inlineStr">
        <is>
          <t>High</t>
        </is>
      </c>
      <c r="E17" s="14" t="n">
        <v>3634</v>
      </c>
      <c r="F17" s="15" t="n">
        <v>24595</v>
      </c>
      <c r="G17" s="15" t="n">
        <v>15102</v>
      </c>
      <c r="H17" s="18">
        <f>G17/F17</f>
        <v/>
      </c>
      <c r="I17" s="16">
        <f>J17/E17</f>
        <v/>
      </c>
      <c r="J17" s="14" t="n">
        <v>39</v>
      </c>
    </row>
    <row r="18">
      <c r="A18" s="13" t="n">
        <v>17</v>
      </c>
      <c r="B18" t="inlineStr">
        <is>
          <t>Super</t>
        </is>
      </c>
      <c r="C18" t="inlineStr">
        <is>
          <t>Household</t>
        </is>
      </c>
      <c r="D18" s="13" t="inlineStr">
        <is>
          <t>Low</t>
        </is>
      </c>
      <c r="E18" s="14" t="n">
        <v>3618</v>
      </c>
      <c r="F18" s="15" t="n">
        <v>22888</v>
      </c>
      <c r="G18" s="15" t="n">
        <v>13868</v>
      </c>
      <c r="H18" s="18">
        <f>G18/F18</f>
        <v/>
      </c>
      <c r="I18" s="16">
        <f>J18/E18</f>
        <v/>
      </c>
      <c r="J18" s="14" t="n">
        <v>35</v>
      </c>
    </row>
    <row r="19">
      <c r="A19" s="13" t="n">
        <v>18</v>
      </c>
      <c r="B19" t="inlineStr">
        <is>
          <t>Denny</t>
        </is>
      </c>
      <c r="C19" t="inlineStr">
        <is>
          <t>Dairy</t>
        </is>
      </c>
      <c r="D19" s="13" t="inlineStr">
        <is>
          <t>Medium</t>
        </is>
      </c>
      <c r="E19" s="14" t="n">
        <v>3584</v>
      </c>
      <c r="F19" s="15" t="n">
        <v>27602</v>
      </c>
      <c r="G19" s="15" t="n">
        <v>16015</v>
      </c>
      <c r="H19" s="16">
        <f>G19/F19</f>
        <v/>
      </c>
      <c r="I19" s="16">
        <f>J19/E19</f>
        <v/>
      </c>
      <c r="J19" s="14" t="n">
        <v>35</v>
      </c>
    </row>
    <row r="20">
      <c r="A20" s="13" t="n">
        <v>19</v>
      </c>
      <c r="B20" t="inlineStr">
        <is>
          <t>High Quality</t>
        </is>
      </c>
      <c r="C20" t="inlineStr">
        <is>
          <t>Meat &amp; Poultry</t>
        </is>
      </c>
      <c r="D20" s="13" t="inlineStr">
        <is>
          <t>High</t>
        </is>
      </c>
      <c r="E20" s="14" t="n">
        <v>3577</v>
      </c>
      <c r="F20" s="15" t="n">
        <v>28325</v>
      </c>
      <c r="G20" s="15" t="n">
        <v>16139</v>
      </c>
      <c r="H20" s="16">
        <f>G20/F20</f>
        <v/>
      </c>
      <c r="I20" s="17">
        <f>J20/E20</f>
        <v/>
      </c>
      <c r="J20" s="14" t="n">
        <v>41</v>
      </c>
    </row>
    <row r="21">
      <c r="A21" s="13" t="n">
        <v>20</v>
      </c>
      <c r="B21" t="inlineStr">
        <is>
          <t>Golden</t>
        </is>
      </c>
      <c r="C21" t="inlineStr">
        <is>
          <t>Bakery</t>
        </is>
      </c>
      <c r="D21" s="13" t="inlineStr">
        <is>
          <t>Low</t>
        </is>
      </c>
      <c r="E21" s="14" t="n">
        <v>3550</v>
      </c>
      <c r="F21" s="15" t="n">
        <v>22575</v>
      </c>
      <c r="G21" s="15" t="n">
        <v>13256</v>
      </c>
      <c r="H21" s="16">
        <f>G21/F21</f>
        <v/>
      </c>
      <c r="I21" s="16">
        <f>J21/E21</f>
        <v/>
      </c>
      <c r="J21" s="14" t="n">
        <v>31</v>
      </c>
    </row>
    <row r="22">
      <c r="A22" s="13" t="n">
        <v>21</v>
      </c>
      <c r="B22" t="inlineStr">
        <is>
          <t>BBB Best</t>
        </is>
      </c>
      <c r="C22" t="inlineStr">
        <is>
          <t>Pantry</t>
        </is>
      </c>
      <c r="D22" s="13" t="inlineStr">
        <is>
          <t>Medium</t>
        </is>
      </c>
      <c r="E22" s="14" t="n">
        <v>3514</v>
      </c>
      <c r="F22" s="15" t="n">
        <v>20912</v>
      </c>
      <c r="G22" s="15" t="n">
        <v>12991</v>
      </c>
      <c r="H22" s="18">
        <f>G22/F22</f>
        <v/>
      </c>
      <c r="I22" s="16">
        <f>J22/E22</f>
        <v/>
      </c>
      <c r="J22" s="14" t="n">
        <v>28</v>
      </c>
    </row>
    <row r="23">
      <c r="A23" s="13" t="n">
        <v>22</v>
      </c>
      <c r="B23" t="inlineStr">
        <is>
          <t>PigTail</t>
        </is>
      </c>
      <c r="C23" t="inlineStr">
        <is>
          <t>Sweets</t>
        </is>
      </c>
      <c r="D23" s="13" t="inlineStr">
        <is>
          <t>Low</t>
        </is>
      </c>
      <c r="E23" s="14" t="n">
        <v>3467</v>
      </c>
      <c r="F23" s="15" t="n">
        <v>19145</v>
      </c>
      <c r="G23" s="15" t="n">
        <v>11617</v>
      </c>
      <c r="H23" s="18">
        <f>G23/F23</f>
        <v/>
      </c>
      <c r="I23" s="16">
        <f>J23/E23</f>
        <v/>
      </c>
      <c r="J23" s="14" t="n">
        <v>36</v>
      </c>
    </row>
    <row r="24">
      <c r="A24" s="13" t="n">
        <v>23</v>
      </c>
      <c r="B24" t="inlineStr">
        <is>
          <t>Plato</t>
        </is>
      </c>
      <c r="C24" t="inlineStr">
        <is>
          <t>Pet Supplies</t>
        </is>
      </c>
      <c r="D24" s="13" t="inlineStr">
        <is>
          <t>High</t>
        </is>
      </c>
      <c r="E24" s="14" t="n">
        <v>3352</v>
      </c>
      <c r="F24" s="15" t="n">
        <v>20060</v>
      </c>
      <c r="G24" s="15" t="n">
        <v>12748</v>
      </c>
      <c r="H24" s="18">
        <f>G24/F24</f>
        <v/>
      </c>
      <c r="I24" s="16">
        <f>J24/E24</f>
        <v/>
      </c>
      <c r="J24" s="14" t="n">
        <v>36</v>
      </c>
    </row>
    <row r="25">
      <c r="A25" s="13" t="n">
        <v>24</v>
      </c>
      <c r="B25" t="inlineStr">
        <is>
          <t>Landslide</t>
        </is>
      </c>
      <c r="C25" t="inlineStr">
        <is>
          <t>Paper Goods</t>
        </is>
      </c>
      <c r="D25" s="13" t="inlineStr">
        <is>
          <t>Low</t>
        </is>
      </c>
      <c r="E25" s="14" t="n">
        <v>3270</v>
      </c>
      <c r="F25" s="15" t="n">
        <v>18155</v>
      </c>
      <c r="G25" s="15" t="n">
        <v>10647</v>
      </c>
      <c r="H25" s="16">
        <f>G25/F25</f>
        <v/>
      </c>
      <c r="I25" s="16">
        <f>J25/E25</f>
        <v/>
      </c>
      <c r="J25" s="14" t="n">
        <v>32</v>
      </c>
    </row>
    <row r="26">
      <c r="A26" s="13" t="n">
        <v>25</v>
      </c>
      <c r="B26" t="inlineStr">
        <is>
          <t>CDR</t>
        </is>
      </c>
      <c r="C26" t="inlineStr">
        <is>
          <t>Health &amp; First Aid</t>
        </is>
      </c>
      <c r="D26" s="13" t="inlineStr">
        <is>
          <t>Medium</t>
        </is>
      </c>
      <c r="E26" s="14" t="n">
        <v>3078</v>
      </c>
      <c r="F26" s="15" t="n">
        <v>20450</v>
      </c>
      <c r="G26" s="15" t="n">
        <v>12062</v>
      </c>
      <c r="H26" s="16">
        <f>G26/F26</f>
        <v/>
      </c>
      <c r="I26" s="17">
        <f>J26/E26</f>
        <v/>
      </c>
      <c r="J26" s="14" t="n">
        <v>34</v>
      </c>
    </row>
    <row r="27">
      <c r="B27" s="8" t="inlineStr">
        <is>
          <t>Total / Average</t>
        </is>
      </c>
      <c r="E27" s="19">
        <f>SUM(E2:E26)</f>
        <v/>
      </c>
      <c r="F27" s="20">
        <f>SUM(F2:F26)</f>
        <v/>
      </c>
      <c r="G27" s="20">
        <f>SUM(G2:G26)</f>
        <v/>
      </c>
      <c r="H27" s="21">
        <f>G27/F27</f>
        <v/>
      </c>
      <c r="I27" s="21">
        <f>J27/E27</f>
        <v/>
      </c>
      <c r="J27" s="19">
        <f>SUM(J2:J26)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9" customWidth="1" min="5" max="5"/>
    <col width="15" customWidth="1" min="6" max="6"/>
    <col width="12" customWidth="1" min="7" max="7"/>
    <col width="25" customWidth="1" min="8" max="8"/>
  </cols>
  <sheetData>
    <row r="1">
      <c r="A1" s="10" t="inlineStr">
        <is>
          <t>Week #</t>
        </is>
      </c>
      <c r="B1" s="10" t="inlineStr">
        <is>
          <t>Month</t>
        </is>
      </c>
      <c r="C1" s="10" t="inlineStr">
        <is>
          <t>Year</t>
        </is>
      </c>
      <c r="D1" s="12" t="inlineStr">
        <is>
          <t>Gross Revenue ($)</t>
        </is>
      </c>
      <c r="E1" s="12" t="inlineStr">
        <is>
          <t>Gross Profit ($)</t>
        </is>
      </c>
      <c r="F1" s="12" t="inlineStr">
        <is>
          <t>Transactions</t>
        </is>
      </c>
      <c r="G1" s="12" t="inlineStr">
        <is>
          <t>Returns</t>
        </is>
      </c>
      <c r="H1" s="12" t="inlineStr">
        <is>
          <t>Cumulative Revenue ($)</t>
        </is>
      </c>
    </row>
    <row r="2">
      <c r="A2" s="13" t="n">
        <v>1</v>
      </c>
      <c r="B2" s="13" t="n">
        <v>1</v>
      </c>
      <c r="C2" s="13" t="n">
        <v>1998</v>
      </c>
      <c r="D2" s="15" t="n">
        <v>18200</v>
      </c>
      <c r="E2" s="15" t="n">
        <v>10909.08</v>
      </c>
      <c r="F2" s="14" t="n">
        <v>4608</v>
      </c>
      <c r="G2" s="14" t="n">
        <v>46</v>
      </c>
      <c r="H2" s="15">
        <f>SUM($D$2:D2)</f>
        <v/>
      </c>
    </row>
    <row r="3">
      <c r="A3" s="13" t="n">
        <v>2</v>
      </c>
      <c r="B3" s="13" t="n">
        <v>1</v>
      </c>
      <c r="C3" s="13" t="n">
        <v>1998</v>
      </c>
      <c r="D3" s="15" t="n">
        <v>19100</v>
      </c>
      <c r="E3" s="15" t="n">
        <v>11448.54</v>
      </c>
      <c r="F3" s="14" t="n">
        <v>4835</v>
      </c>
      <c r="G3" s="14" t="n">
        <v>48</v>
      </c>
      <c r="H3" s="15">
        <f>SUM($D$2:D3)</f>
        <v/>
      </c>
    </row>
    <row r="4">
      <c r="A4" s="13" t="n">
        <v>3</v>
      </c>
      <c r="B4" s="13" t="n">
        <v>1</v>
      </c>
      <c r="C4" s="13" t="n">
        <v>1998</v>
      </c>
      <c r="D4" s="15" t="n">
        <v>21000</v>
      </c>
      <c r="E4" s="15" t="n">
        <v>12587.4</v>
      </c>
      <c r="F4" s="14" t="n">
        <v>5316</v>
      </c>
      <c r="G4" s="14" t="n">
        <v>53</v>
      </c>
      <c r="H4" s="15">
        <f>SUM($D$2:D4)</f>
        <v/>
      </c>
    </row>
    <row r="5">
      <c r="A5" s="13" t="n">
        <v>4</v>
      </c>
      <c r="B5" s="13" t="n">
        <v>1</v>
      </c>
      <c r="C5" s="13" t="n">
        <v>1998</v>
      </c>
      <c r="D5" s="15" t="n">
        <v>20400</v>
      </c>
      <c r="E5" s="15" t="n">
        <v>12227.76</v>
      </c>
      <c r="F5" s="14" t="n">
        <v>5165</v>
      </c>
      <c r="G5" s="14" t="n">
        <v>52</v>
      </c>
      <c r="H5" s="15">
        <f>SUM($D$2:D5)</f>
        <v/>
      </c>
    </row>
    <row r="6">
      <c r="A6" s="13" t="n">
        <v>5</v>
      </c>
      <c r="B6" s="13" t="n">
        <v>2</v>
      </c>
      <c r="C6" s="13" t="n">
        <v>1998</v>
      </c>
      <c r="D6" s="15" t="n">
        <v>24100</v>
      </c>
      <c r="E6" s="15" t="n">
        <v>14445.54</v>
      </c>
      <c r="F6" s="14" t="n">
        <v>6101</v>
      </c>
      <c r="G6" s="14" t="n">
        <v>61</v>
      </c>
      <c r="H6" s="15">
        <f>SUM($D$2:D6)</f>
        <v/>
      </c>
    </row>
    <row r="7">
      <c r="A7" s="13" t="n">
        <v>6</v>
      </c>
      <c r="B7" s="13" t="n">
        <v>2</v>
      </c>
      <c r="C7" s="13" t="n">
        <v>1998</v>
      </c>
      <c r="D7" s="15" t="n">
        <v>26300</v>
      </c>
      <c r="E7" s="15" t="n">
        <v>15764.22</v>
      </c>
      <c r="F7" s="14" t="n">
        <v>6658</v>
      </c>
      <c r="G7" s="14" t="n">
        <v>67</v>
      </c>
      <c r="H7" s="15">
        <f>SUM($D$2:D7)</f>
        <v/>
      </c>
    </row>
    <row r="8">
      <c r="A8" s="13" t="n">
        <v>7</v>
      </c>
      <c r="B8" s="13" t="n">
        <v>2</v>
      </c>
      <c r="C8" s="13" t="n">
        <v>1998</v>
      </c>
      <c r="D8" s="15" t="n">
        <v>25000</v>
      </c>
      <c r="E8" s="15" t="n">
        <v>14985</v>
      </c>
      <c r="F8" s="14" t="n">
        <v>6329</v>
      </c>
      <c r="G8" s="14" t="n">
        <v>63</v>
      </c>
      <c r="H8" s="15">
        <f>SUM($D$2:D8)</f>
        <v/>
      </c>
    </row>
    <row r="9">
      <c r="A9" s="13" t="n">
        <v>8</v>
      </c>
      <c r="B9" s="13" t="n">
        <v>2</v>
      </c>
      <c r="C9" s="13" t="n">
        <v>1998</v>
      </c>
      <c r="D9" s="15" t="n">
        <v>23400</v>
      </c>
      <c r="E9" s="15" t="n">
        <v>14025.96</v>
      </c>
      <c r="F9" s="14" t="n">
        <v>5924</v>
      </c>
      <c r="G9" s="14" t="n">
        <v>59</v>
      </c>
      <c r="H9" s="15">
        <f>SUM($D$2:D9)</f>
        <v/>
      </c>
    </row>
    <row r="10">
      <c r="A10" s="13" t="n">
        <v>9</v>
      </c>
      <c r="B10" s="13" t="n">
        <v>3</v>
      </c>
      <c r="C10" s="13" t="n">
        <v>1998</v>
      </c>
      <c r="D10" s="15" t="n">
        <v>22800</v>
      </c>
      <c r="E10" s="15" t="n">
        <v>13666.32</v>
      </c>
      <c r="F10" s="14" t="n">
        <v>5772</v>
      </c>
      <c r="G10" s="14" t="n">
        <v>58</v>
      </c>
      <c r="H10" s="15">
        <f>SUM($D$2:D10)</f>
        <v/>
      </c>
    </row>
    <row r="11">
      <c r="A11" s="13" t="n">
        <v>10</v>
      </c>
      <c r="B11" s="13" t="n">
        <v>3</v>
      </c>
      <c r="C11" s="13" t="n">
        <v>1998</v>
      </c>
      <c r="D11" s="15" t="n">
        <v>28100</v>
      </c>
      <c r="E11" s="15" t="n">
        <v>16843.14</v>
      </c>
      <c r="F11" s="14" t="n">
        <v>7114</v>
      </c>
      <c r="G11" s="14" t="n">
        <v>71</v>
      </c>
      <c r="H11" s="15">
        <f>SUM($D$2:D11)</f>
        <v/>
      </c>
    </row>
    <row r="12">
      <c r="A12" s="13" t="n">
        <v>11</v>
      </c>
      <c r="B12" s="13" t="n">
        <v>3</v>
      </c>
      <c r="C12" s="13" t="n">
        <v>1998</v>
      </c>
      <c r="D12" s="15" t="n">
        <v>27500</v>
      </c>
      <c r="E12" s="15" t="n">
        <v>16483.5</v>
      </c>
      <c r="F12" s="14" t="n">
        <v>6962</v>
      </c>
      <c r="G12" s="14" t="n">
        <v>70</v>
      </c>
      <c r="H12" s="15">
        <f>SUM($D$2:D12)</f>
        <v/>
      </c>
    </row>
    <row r="13">
      <c r="A13" s="13" t="n">
        <v>12</v>
      </c>
      <c r="B13" s="13" t="n">
        <v>3</v>
      </c>
      <c r="C13" s="13" t="n">
        <v>1998</v>
      </c>
      <c r="D13" s="15" t="n">
        <v>26200</v>
      </c>
      <c r="E13" s="15" t="n">
        <v>15704.28</v>
      </c>
      <c r="F13" s="14" t="n">
        <v>6633</v>
      </c>
      <c r="G13" s="14" t="n">
        <v>66</v>
      </c>
      <c r="H13" s="15">
        <f>SUM($D$2:D13)</f>
        <v/>
      </c>
    </row>
    <row r="14">
      <c r="A14" s="13" t="n">
        <v>13</v>
      </c>
      <c r="B14" s="13" t="n">
        <v>4</v>
      </c>
      <c r="C14" s="13" t="n">
        <v>1998</v>
      </c>
      <c r="D14" s="15" t="n">
        <v>25100</v>
      </c>
      <c r="E14" s="15" t="n">
        <v>15044.94</v>
      </c>
      <c r="F14" s="14" t="n">
        <v>6354</v>
      </c>
      <c r="G14" s="14" t="n">
        <v>64</v>
      </c>
      <c r="H14" s="15">
        <f>SUM($D$2:D14)</f>
        <v/>
      </c>
    </row>
    <row r="15">
      <c r="A15" s="13" t="n">
        <v>14</v>
      </c>
      <c r="B15" s="13" t="n">
        <v>4</v>
      </c>
      <c r="C15" s="13" t="n">
        <v>1998</v>
      </c>
      <c r="D15" s="15" t="n">
        <v>24800</v>
      </c>
      <c r="E15" s="15" t="n">
        <v>14865.12</v>
      </c>
      <c r="F15" s="14" t="n">
        <v>6278</v>
      </c>
      <c r="G15" s="14" t="n">
        <v>63</v>
      </c>
      <c r="H15" s="15">
        <f>SUM($D$2:D15)</f>
        <v/>
      </c>
    </row>
    <row r="16">
      <c r="A16" s="13" t="n">
        <v>15</v>
      </c>
      <c r="B16" s="13" t="n">
        <v>4</v>
      </c>
      <c r="C16" s="13" t="n">
        <v>1998</v>
      </c>
      <c r="D16" s="15" t="n">
        <v>27300</v>
      </c>
      <c r="E16" s="15" t="n">
        <v>16363.62</v>
      </c>
      <c r="F16" s="14" t="n">
        <v>6911</v>
      </c>
      <c r="G16" s="14" t="n">
        <v>69</v>
      </c>
      <c r="H16" s="15">
        <f>SUM($D$2:D16)</f>
        <v/>
      </c>
    </row>
    <row r="17">
      <c r="A17" s="13" t="n">
        <v>16</v>
      </c>
      <c r="B17" s="13" t="n">
        <v>4</v>
      </c>
      <c r="C17" s="13" t="n">
        <v>1998</v>
      </c>
      <c r="D17" s="15" t="n">
        <v>29100</v>
      </c>
      <c r="E17" s="15" t="n">
        <v>17442.54</v>
      </c>
      <c r="F17" s="14" t="n">
        <v>7367</v>
      </c>
      <c r="G17" s="14" t="n">
        <v>74</v>
      </c>
      <c r="H17" s="15">
        <f>SUM($D$2:D17)</f>
        <v/>
      </c>
    </row>
    <row r="18">
      <c r="A18" s="13" t="n">
        <v>17</v>
      </c>
      <c r="B18" s="13" t="n">
        <v>5</v>
      </c>
      <c r="C18" s="13" t="n">
        <v>1998</v>
      </c>
      <c r="D18" s="15" t="n">
        <v>30200</v>
      </c>
      <c r="E18" s="15" t="n">
        <v>18101.88</v>
      </c>
      <c r="F18" s="14" t="n">
        <v>7646</v>
      </c>
      <c r="G18" s="14" t="n">
        <v>76</v>
      </c>
      <c r="H18" s="15">
        <f>SUM($D$2:D18)</f>
        <v/>
      </c>
    </row>
    <row r="19">
      <c r="A19" s="13" t="n">
        <v>18</v>
      </c>
      <c r="B19" s="13" t="n">
        <v>5</v>
      </c>
      <c r="C19" s="13" t="n">
        <v>1998</v>
      </c>
      <c r="D19" s="15" t="n">
        <v>28400</v>
      </c>
      <c r="E19" s="15" t="n">
        <v>17022.96</v>
      </c>
      <c r="F19" s="14" t="n">
        <v>7190</v>
      </c>
      <c r="G19" s="14" t="n">
        <v>72</v>
      </c>
      <c r="H19" s="15">
        <f>SUM($D$2:D19)</f>
        <v/>
      </c>
    </row>
    <row r="20">
      <c r="A20" s="13" t="n">
        <v>19</v>
      </c>
      <c r="B20" s="13" t="n">
        <v>5</v>
      </c>
      <c r="C20" s="13" t="n">
        <v>1998</v>
      </c>
      <c r="D20" s="15" t="n">
        <v>27100</v>
      </c>
      <c r="E20" s="15" t="n">
        <v>16243.74</v>
      </c>
      <c r="F20" s="14" t="n">
        <v>6861</v>
      </c>
      <c r="G20" s="14" t="n">
        <v>69</v>
      </c>
      <c r="H20" s="15">
        <f>SUM($D$2:D20)</f>
        <v/>
      </c>
    </row>
    <row r="21">
      <c r="A21" s="13" t="n">
        <v>20</v>
      </c>
      <c r="B21" s="13" t="n">
        <v>5</v>
      </c>
      <c r="C21" s="13" t="n">
        <v>1998</v>
      </c>
      <c r="D21" s="15" t="n">
        <v>26500</v>
      </c>
      <c r="E21" s="15" t="n">
        <v>15884.1</v>
      </c>
      <c r="F21" s="14" t="n">
        <v>6709</v>
      </c>
      <c r="G21" s="14" t="n">
        <v>67</v>
      </c>
      <c r="H21" s="15">
        <f>SUM($D$2:D21)</f>
        <v/>
      </c>
    </row>
    <row r="22">
      <c r="A22" s="13" t="n">
        <v>21</v>
      </c>
      <c r="B22" s="13" t="n">
        <v>6</v>
      </c>
      <c r="C22" s="13" t="n">
        <v>1998</v>
      </c>
      <c r="D22" s="15" t="n">
        <v>28300</v>
      </c>
      <c r="E22" s="15" t="n">
        <v>16963.02</v>
      </c>
      <c r="F22" s="14" t="n">
        <v>7165</v>
      </c>
      <c r="G22" s="14" t="n">
        <v>72</v>
      </c>
      <c r="H22" s="15">
        <f>SUM($D$2:D22)</f>
        <v/>
      </c>
    </row>
    <row r="23">
      <c r="A23" s="13" t="n">
        <v>22</v>
      </c>
      <c r="B23" s="13" t="n">
        <v>6</v>
      </c>
      <c r="C23" s="13" t="n">
        <v>1998</v>
      </c>
      <c r="D23" s="15" t="n">
        <v>31200</v>
      </c>
      <c r="E23" s="15" t="n">
        <v>18701.28</v>
      </c>
      <c r="F23" s="14" t="n">
        <v>7899</v>
      </c>
      <c r="G23" s="14" t="n">
        <v>79</v>
      </c>
      <c r="H23" s="15">
        <f>SUM($D$2:D23)</f>
        <v/>
      </c>
    </row>
    <row r="24">
      <c r="A24" s="13" t="n">
        <v>23</v>
      </c>
      <c r="B24" s="13" t="n">
        <v>6</v>
      </c>
      <c r="C24" s="13" t="n">
        <v>1998</v>
      </c>
      <c r="D24" s="15" t="n">
        <v>32100</v>
      </c>
      <c r="E24" s="15" t="n">
        <v>19240.74</v>
      </c>
      <c r="F24" s="14" t="n">
        <v>8127</v>
      </c>
      <c r="G24" s="14" t="n">
        <v>81</v>
      </c>
      <c r="H24" s="15">
        <f>SUM($D$2:D24)</f>
        <v/>
      </c>
    </row>
    <row r="25">
      <c r="A25" s="13" t="n">
        <v>24</v>
      </c>
      <c r="B25" s="13" t="n">
        <v>6</v>
      </c>
      <c r="C25" s="13" t="n">
        <v>1998</v>
      </c>
      <c r="D25" s="15" t="n">
        <v>29500</v>
      </c>
      <c r="E25" s="15" t="n">
        <v>17682.3</v>
      </c>
      <c r="F25" s="14" t="n">
        <v>7468</v>
      </c>
      <c r="G25" s="14" t="n">
        <v>75</v>
      </c>
      <c r="H25" s="15">
        <f>SUM($D$2:D25)</f>
        <v/>
      </c>
    </row>
    <row r="26">
      <c r="A26" s="13" t="n">
        <v>25</v>
      </c>
      <c r="B26" s="13" t="n">
        <v>7</v>
      </c>
      <c r="C26" s="13" t="n">
        <v>1998</v>
      </c>
      <c r="D26" s="15" t="n">
        <v>28400</v>
      </c>
      <c r="E26" s="15" t="n">
        <v>17022.96</v>
      </c>
      <c r="F26" s="14" t="n">
        <v>7190</v>
      </c>
      <c r="G26" s="14" t="n">
        <v>72</v>
      </c>
      <c r="H26" s="15">
        <f>SUM($D$2:D26)</f>
        <v/>
      </c>
    </row>
    <row r="27">
      <c r="A27" s="13" t="n">
        <v>26</v>
      </c>
      <c r="B27" s="13" t="n">
        <v>7</v>
      </c>
      <c r="C27" s="13" t="n">
        <v>1998</v>
      </c>
      <c r="D27" s="15" t="n">
        <v>27200</v>
      </c>
      <c r="E27" s="15" t="n">
        <v>16303.68</v>
      </c>
      <c r="F27" s="14" t="n">
        <v>6886</v>
      </c>
      <c r="G27" s="14" t="n">
        <v>69</v>
      </c>
      <c r="H27" s="15">
        <f>SUM($D$2:D27)</f>
        <v/>
      </c>
    </row>
    <row r="28">
      <c r="A28" s="13" t="n">
        <v>27</v>
      </c>
      <c r="B28" s="13" t="n">
        <v>7</v>
      </c>
      <c r="C28" s="13" t="n">
        <v>1998</v>
      </c>
      <c r="D28" s="15" t="n">
        <v>29300</v>
      </c>
      <c r="E28" s="15" t="n">
        <v>17562.42</v>
      </c>
      <c r="F28" s="14" t="n">
        <v>7418</v>
      </c>
      <c r="G28" s="14" t="n">
        <v>74</v>
      </c>
      <c r="H28" s="15">
        <f>SUM($D$2:D28)</f>
        <v/>
      </c>
    </row>
    <row r="29">
      <c r="A29" s="13" t="n">
        <v>28</v>
      </c>
      <c r="B29" s="13" t="n">
        <v>7</v>
      </c>
      <c r="C29" s="13" t="n">
        <v>1998</v>
      </c>
      <c r="D29" s="15" t="n">
        <v>31100</v>
      </c>
      <c r="E29" s="15" t="n">
        <v>18641.34</v>
      </c>
      <c r="F29" s="14" t="n">
        <v>7873</v>
      </c>
      <c r="G29" s="14" t="n">
        <v>79</v>
      </c>
      <c r="H29" s="15">
        <f>SUM($D$2:D29)</f>
        <v/>
      </c>
    </row>
    <row r="30">
      <c r="A30" s="13" t="n">
        <v>29</v>
      </c>
      <c r="B30" s="13" t="n">
        <v>8</v>
      </c>
      <c r="C30" s="13" t="n">
        <v>1998</v>
      </c>
      <c r="D30" s="15" t="n">
        <v>30400</v>
      </c>
      <c r="E30" s="15" t="n">
        <v>18221.76</v>
      </c>
      <c r="F30" s="14" t="n">
        <v>7696</v>
      </c>
      <c r="G30" s="14" t="n">
        <v>77</v>
      </c>
      <c r="H30" s="15">
        <f>SUM($D$2:D30)</f>
        <v/>
      </c>
    </row>
    <row r="31">
      <c r="A31" s="13" t="n">
        <v>30</v>
      </c>
      <c r="B31" s="13" t="n">
        <v>8</v>
      </c>
      <c r="C31" s="13" t="n">
        <v>1998</v>
      </c>
      <c r="D31" s="15" t="n">
        <v>28200</v>
      </c>
      <c r="E31" s="15" t="n">
        <v>16903.08</v>
      </c>
      <c r="F31" s="14" t="n">
        <v>7139</v>
      </c>
      <c r="G31" s="14" t="n">
        <v>71</v>
      </c>
      <c r="H31" s="15">
        <f>SUM($D$2:D31)</f>
        <v/>
      </c>
    </row>
    <row r="32">
      <c r="A32" s="13" t="n">
        <v>31</v>
      </c>
      <c r="B32" s="13" t="n">
        <v>8</v>
      </c>
      <c r="C32" s="13" t="n">
        <v>1998</v>
      </c>
      <c r="D32" s="15" t="n">
        <v>27500</v>
      </c>
      <c r="E32" s="15" t="n">
        <v>16483.5</v>
      </c>
      <c r="F32" s="14" t="n">
        <v>6962</v>
      </c>
      <c r="G32" s="14" t="n">
        <v>70</v>
      </c>
      <c r="H32" s="15">
        <f>SUM($D$2:D32)</f>
        <v/>
      </c>
    </row>
    <row r="33">
      <c r="A33" s="13" t="n">
        <v>32</v>
      </c>
      <c r="B33" s="13" t="n">
        <v>8</v>
      </c>
      <c r="C33" s="13" t="n">
        <v>1998</v>
      </c>
      <c r="D33" s="15" t="n">
        <v>29100</v>
      </c>
      <c r="E33" s="15" t="n">
        <v>17442.54</v>
      </c>
      <c r="F33" s="14" t="n">
        <v>7367</v>
      </c>
      <c r="G33" s="14" t="n">
        <v>74</v>
      </c>
      <c r="H33" s="15">
        <f>SUM($D$2:D33)</f>
        <v/>
      </c>
    </row>
    <row r="34">
      <c r="A34" s="13" t="n">
        <v>33</v>
      </c>
      <c r="B34" s="13" t="n">
        <v>9</v>
      </c>
      <c r="C34" s="13" t="n">
        <v>1998</v>
      </c>
      <c r="D34" s="15" t="n">
        <v>30500</v>
      </c>
      <c r="E34" s="15" t="n">
        <v>18281.7</v>
      </c>
      <c r="F34" s="14" t="n">
        <v>7722</v>
      </c>
      <c r="G34" s="14" t="n">
        <v>77</v>
      </c>
      <c r="H34" s="15">
        <f>SUM($D$2:D34)</f>
        <v/>
      </c>
    </row>
    <row r="35">
      <c r="A35" s="13" t="n">
        <v>34</v>
      </c>
      <c r="B35" s="13" t="n">
        <v>9</v>
      </c>
      <c r="C35" s="13" t="n">
        <v>1998</v>
      </c>
      <c r="D35" s="15" t="n">
        <v>32400</v>
      </c>
      <c r="E35" s="15" t="n">
        <v>19420.56</v>
      </c>
      <c r="F35" s="14" t="n">
        <v>8203</v>
      </c>
      <c r="G35" s="14" t="n">
        <v>82</v>
      </c>
      <c r="H35" s="15">
        <f>SUM($D$2:D35)</f>
        <v/>
      </c>
    </row>
    <row r="36">
      <c r="A36" s="13" t="n">
        <v>35</v>
      </c>
      <c r="B36" s="13" t="n">
        <v>9</v>
      </c>
      <c r="C36" s="13" t="n">
        <v>1998</v>
      </c>
      <c r="D36" s="15" t="n">
        <v>31200</v>
      </c>
      <c r="E36" s="15" t="n">
        <v>18701.28</v>
      </c>
      <c r="F36" s="14" t="n">
        <v>7899</v>
      </c>
      <c r="G36" s="14" t="n">
        <v>79</v>
      </c>
      <c r="H36" s="15">
        <f>SUM($D$2:D36)</f>
        <v/>
      </c>
    </row>
    <row r="37">
      <c r="A37" s="13" t="n">
        <v>36</v>
      </c>
      <c r="B37" s="13" t="n">
        <v>9</v>
      </c>
      <c r="C37" s="13" t="n">
        <v>1998</v>
      </c>
      <c r="D37" s="15" t="n">
        <v>29000</v>
      </c>
      <c r="E37" s="15" t="n">
        <v>17382.6</v>
      </c>
      <c r="F37" s="14" t="n">
        <v>7342</v>
      </c>
      <c r="G37" s="14" t="n">
        <v>73</v>
      </c>
      <c r="H37" s="15">
        <f>SUM($D$2:D37)</f>
        <v/>
      </c>
    </row>
    <row r="38">
      <c r="A38" s="13" t="n">
        <v>37</v>
      </c>
      <c r="B38" s="13" t="n">
        <v>10</v>
      </c>
      <c r="C38" s="13" t="n">
        <v>1998</v>
      </c>
      <c r="D38" s="15" t="n">
        <v>28100</v>
      </c>
      <c r="E38" s="15" t="n">
        <v>16843.14</v>
      </c>
      <c r="F38" s="14" t="n">
        <v>7114</v>
      </c>
      <c r="G38" s="14" t="n">
        <v>71</v>
      </c>
      <c r="H38" s="15">
        <f>SUM($D$2:D38)</f>
        <v/>
      </c>
    </row>
    <row r="39">
      <c r="A39" s="13" t="n">
        <v>38</v>
      </c>
      <c r="B39" s="13" t="n">
        <v>10</v>
      </c>
      <c r="C39" s="13" t="n">
        <v>1998</v>
      </c>
      <c r="D39" s="15" t="n">
        <v>29600</v>
      </c>
      <c r="E39" s="15" t="n">
        <v>17742.24</v>
      </c>
      <c r="F39" s="14" t="n">
        <v>7494</v>
      </c>
      <c r="G39" s="14" t="n">
        <v>75</v>
      </c>
      <c r="H39" s="15">
        <f>SUM($D$2:D39)</f>
        <v/>
      </c>
    </row>
    <row r="40">
      <c r="A40" s="13" t="n">
        <v>39</v>
      </c>
      <c r="B40" s="13" t="n">
        <v>10</v>
      </c>
      <c r="C40" s="13" t="n">
        <v>1998</v>
      </c>
      <c r="D40" s="15" t="n">
        <v>32300</v>
      </c>
      <c r="E40" s="15" t="n">
        <v>19360.62</v>
      </c>
      <c r="F40" s="14" t="n">
        <v>8177</v>
      </c>
      <c r="G40" s="14" t="n">
        <v>82</v>
      </c>
      <c r="H40" s="15">
        <f>SUM($D$2:D40)</f>
        <v/>
      </c>
    </row>
    <row r="41">
      <c r="A41" s="13" t="n">
        <v>40</v>
      </c>
      <c r="B41" s="13" t="n">
        <v>10</v>
      </c>
      <c r="C41" s="13" t="n">
        <v>1998</v>
      </c>
      <c r="D41" s="15" t="n">
        <v>34100</v>
      </c>
      <c r="E41" s="15" t="n">
        <v>20439.54</v>
      </c>
      <c r="F41" s="14" t="n">
        <v>8633</v>
      </c>
      <c r="G41" s="14" t="n">
        <v>86</v>
      </c>
      <c r="H41" s="15">
        <f>SUM($D$2:D41)</f>
        <v/>
      </c>
    </row>
    <row r="42">
      <c r="A42" s="13" t="n">
        <v>41</v>
      </c>
      <c r="B42" s="13" t="n">
        <v>11</v>
      </c>
      <c r="C42" s="13" t="n">
        <v>1998</v>
      </c>
      <c r="D42" s="15" t="n">
        <v>33200</v>
      </c>
      <c r="E42" s="15" t="n">
        <v>19900.08</v>
      </c>
      <c r="F42" s="14" t="n">
        <v>8405</v>
      </c>
      <c r="G42" s="14" t="n">
        <v>84</v>
      </c>
      <c r="H42" s="15">
        <f>SUM($D$2:D42)</f>
        <v/>
      </c>
    </row>
    <row r="43">
      <c r="A43" s="13" t="n">
        <v>42</v>
      </c>
      <c r="B43" s="13" t="n">
        <v>11</v>
      </c>
      <c r="C43" s="13" t="n">
        <v>1998</v>
      </c>
      <c r="D43" s="15" t="n">
        <v>31500</v>
      </c>
      <c r="E43" s="15" t="n">
        <v>18881.1</v>
      </c>
      <c r="F43" s="14" t="n">
        <v>7975</v>
      </c>
      <c r="G43" s="14" t="n">
        <v>80</v>
      </c>
      <c r="H43" s="15">
        <f>SUM($D$2:D43)</f>
        <v/>
      </c>
    </row>
    <row r="44">
      <c r="A44" s="13" t="n">
        <v>43</v>
      </c>
      <c r="B44" s="13" t="n">
        <v>11</v>
      </c>
      <c r="C44" s="13" t="n">
        <v>1998</v>
      </c>
      <c r="D44" s="15" t="n">
        <v>32800</v>
      </c>
      <c r="E44" s="15" t="n">
        <v>19660.32</v>
      </c>
      <c r="F44" s="14" t="n">
        <v>8304</v>
      </c>
      <c r="G44" s="14" t="n">
        <v>83</v>
      </c>
      <c r="H44" s="15">
        <f>SUM($D$2:D44)</f>
        <v/>
      </c>
    </row>
    <row r="45">
      <c r="A45" s="13" t="n">
        <v>44</v>
      </c>
      <c r="B45" s="13" t="n">
        <v>11</v>
      </c>
      <c r="C45" s="13" t="n">
        <v>1998</v>
      </c>
      <c r="D45" s="15" t="n">
        <v>35200</v>
      </c>
      <c r="E45" s="15" t="n">
        <v>21098.88</v>
      </c>
      <c r="F45" s="14" t="n">
        <v>8911</v>
      </c>
      <c r="G45" s="14" t="n">
        <v>89</v>
      </c>
      <c r="H45" s="15">
        <f>SUM($D$2:D45)</f>
        <v/>
      </c>
    </row>
    <row r="46">
      <c r="A46" s="13" t="n">
        <v>45</v>
      </c>
      <c r="B46" s="13" t="n">
        <v>12</v>
      </c>
      <c r="C46" s="13" t="n">
        <v>1998</v>
      </c>
      <c r="D46" s="15" t="n">
        <v>36400</v>
      </c>
      <c r="E46" s="15" t="n">
        <v>21818.16</v>
      </c>
      <c r="F46" s="14" t="n">
        <v>9215</v>
      </c>
      <c r="G46" s="14" t="n">
        <v>92</v>
      </c>
      <c r="H46" s="15">
        <f>SUM($D$2:D46)</f>
        <v/>
      </c>
    </row>
    <row r="47">
      <c r="A47" s="13" t="n">
        <v>46</v>
      </c>
      <c r="B47" s="13" t="n">
        <v>12</v>
      </c>
      <c r="C47" s="13" t="n">
        <v>1998</v>
      </c>
      <c r="D47" s="15" t="n">
        <v>34800</v>
      </c>
      <c r="E47" s="15" t="n">
        <v>20859.12</v>
      </c>
      <c r="F47" s="14" t="n">
        <v>8810</v>
      </c>
      <c r="G47" s="14" t="n">
        <v>88</v>
      </c>
      <c r="H47" s="15">
        <f>SUM($D$2:D47)</f>
        <v/>
      </c>
    </row>
    <row r="48">
      <c r="A48" s="13" t="n">
        <v>47</v>
      </c>
      <c r="B48" s="13" t="n">
        <v>12</v>
      </c>
      <c r="C48" s="13" t="n">
        <v>1998</v>
      </c>
      <c r="D48" s="15" t="n">
        <v>37100</v>
      </c>
      <c r="E48" s="15" t="n">
        <v>22237.74</v>
      </c>
      <c r="F48" s="14" t="n">
        <v>9392</v>
      </c>
      <c r="G48" s="14" t="n">
        <v>94</v>
      </c>
      <c r="H48" s="15">
        <f>SUM($D$2:D48)</f>
        <v/>
      </c>
    </row>
    <row r="49">
      <c r="A49" s="13" t="n">
        <v>48</v>
      </c>
      <c r="B49" s="13" t="n">
        <v>12</v>
      </c>
      <c r="C49" s="13" t="n">
        <v>1998</v>
      </c>
      <c r="D49" s="15" t="n">
        <v>39500</v>
      </c>
      <c r="E49" s="15" t="n">
        <v>23676.3</v>
      </c>
      <c r="F49" s="14" t="n">
        <v>10000</v>
      </c>
      <c r="G49" s="14" t="n">
        <v>100</v>
      </c>
      <c r="H49" s="15">
        <f>SUM($D$2:D49)</f>
        <v/>
      </c>
    </row>
    <row r="50">
      <c r="A50" s="13" t="n">
        <v>49</v>
      </c>
      <c r="B50" s="13" t="n">
        <v>12</v>
      </c>
      <c r="C50" s="13" t="n">
        <v>1998</v>
      </c>
      <c r="D50" s="15" t="n">
        <v>42300</v>
      </c>
      <c r="E50" s="15" t="n">
        <v>25354.62</v>
      </c>
      <c r="F50" s="14" t="n">
        <v>10709</v>
      </c>
      <c r="G50" s="14" t="n">
        <v>107</v>
      </c>
      <c r="H50" s="15">
        <f>SUM($D$2:D50)</f>
        <v/>
      </c>
    </row>
    <row r="51">
      <c r="A51" s="13" t="n">
        <v>50</v>
      </c>
      <c r="B51" s="13" t="n">
        <v>12</v>
      </c>
      <c r="C51" s="13" t="n">
        <v>1998</v>
      </c>
      <c r="D51" s="15" t="n">
        <v>45100</v>
      </c>
      <c r="E51" s="15" t="n">
        <v>27032.94</v>
      </c>
      <c r="F51" s="14" t="n">
        <v>11418</v>
      </c>
      <c r="G51" s="14" t="n">
        <v>114</v>
      </c>
      <c r="H51" s="15">
        <f>SUM($D$2:D51)</f>
        <v/>
      </c>
    </row>
    <row r="52">
      <c r="A52" s="13" t="n">
        <v>51</v>
      </c>
      <c r="B52" s="13" t="n">
        <v>12</v>
      </c>
      <c r="C52" s="13" t="n">
        <v>1998</v>
      </c>
      <c r="D52" s="15" t="n">
        <v>48600</v>
      </c>
      <c r="E52" s="15" t="n">
        <v>29130.84</v>
      </c>
      <c r="F52" s="14" t="n">
        <v>12304</v>
      </c>
      <c r="G52" s="14" t="n">
        <v>123</v>
      </c>
      <c r="H52" s="15">
        <f>SUM($D$2:D52)</f>
        <v/>
      </c>
    </row>
    <row r="53">
      <c r="A53" s="13" t="n">
        <v>52</v>
      </c>
      <c r="B53" s="13" t="n">
        <v>12</v>
      </c>
      <c r="C53" s="13" t="n">
        <v>1998</v>
      </c>
      <c r="D53" s="15" t="n">
        <v>52400</v>
      </c>
      <c r="E53" s="15" t="n">
        <v>31408.56</v>
      </c>
      <c r="F53" s="14" t="n">
        <v>13266</v>
      </c>
      <c r="G53" s="14" t="n">
        <v>133</v>
      </c>
      <c r="H53" s="15">
        <f>SUM($D$2:D53)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2026-09-26T12:31:40Z</dcterms:created>
  <dcterms:modified xsi:type="dcterms:W3CDTF">2026-09-26T12:31:40Z</dcterms:modified>
</cp:coreProperties>
</file>